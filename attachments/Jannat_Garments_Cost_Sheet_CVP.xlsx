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Cost Sheet" sheetId="2" state="visible" r:id="rId4"/>
    <sheet name="CVP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<sst xmlns="http://schemas.openxmlformats.org/spreadsheetml/2006/main" count="113" uniqueCount="111">
  <si>
    <t xml:space="preserve">Jannat Garments and Jobworks - Input Data (monthly)</t>
  </si>
  <si>
    <t xml:space="preserve">Blue = input from factory visit / stated assumption. Edit blue cells only; all other sheets recalculate.</t>
  </si>
  <si>
    <t xml:space="preserve">Item</t>
  </si>
  <si>
    <t xml:space="preserve">Value</t>
  </si>
  <si>
    <t xml:space="preserve">Source / Note</t>
  </si>
  <si>
    <t xml:space="preserve">Units produced and sold per month</t>
  </si>
  <si>
    <t xml:space="preserve">Assumption: lower end of owner's stated capacity 22k-27k</t>
  </si>
  <si>
    <t xml:space="preserve">Selling (job-work) rate per unit (Rs)</t>
  </si>
  <si>
    <t xml:space="preserve">Owner: approx Rs 48 per unit, fixed by pattern</t>
  </si>
  <si>
    <t xml:space="preserve">Maximum capacity (units/month)</t>
  </si>
  <si>
    <t xml:space="preserve">Owner: 22k-27k units</t>
  </si>
  <si>
    <t xml:space="preserve">Thread (Rs)</t>
  </si>
  <si>
    <t xml:space="preserve">Owner: approx 50k</t>
  </si>
  <si>
    <t xml:space="preserve">Colour / dye (Rs)</t>
  </si>
  <si>
    <t xml:space="preserve">Finishing, label &amp; lace (Rs)</t>
  </si>
  <si>
    <t xml:space="preserve">Balance of Rs 1.5L total material cost</t>
  </si>
  <si>
    <t xml:space="preserve">Making (labour) cost per unit (Rs)</t>
  </si>
  <si>
    <t xml:space="preserve">Owner: Rs 20-22 per unit (midpoint)</t>
  </si>
  <si>
    <t xml:space="preserve">Gross wastage (Rs)</t>
  </si>
  <si>
    <t xml:space="preserve">Owner: Rs 10k-15k (midpoint)</t>
  </si>
  <si>
    <t xml:space="preserve">Waste recovery / scrap credit (Rs)</t>
  </si>
  <si>
    <t xml:space="preserve">Owner: Rs 1,500-1,700 recovered (midpoint)</t>
  </si>
  <si>
    <t xml:space="preserve">Electricity (Rs)</t>
  </si>
  <si>
    <t xml:space="preserve">Owner: Rs 45k</t>
  </si>
  <si>
    <t xml:space="preserve">Number of helpers</t>
  </si>
  <si>
    <t xml:space="preserve">Owner: 5 helpers</t>
  </si>
  <si>
    <t xml:space="preserve">Salary per helper (Rs)</t>
  </si>
  <si>
    <t xml:space="preserve">Owner: Rs 12k each</t>
  </si>
  <si>
    <t xml:space="preserve">Master tailor / supervisor salary (Rs)</t>
  </si>
  <si>
    <t xml:space="preserve">Owner: Tailor Rs 50k/month</t>
  </si>
  <si>
    <t xml:space="preserve">Machine repairs &amp; maintenance (Rs)</t>
  </si>
  <si>
    <t xml:space="preserve">Owner: Rs 40k-50k (midpoint)</t>
  </si>
  <si>
    <t xml:space="preserve">Number of machines</t>
  </si>
  <si>
    <t xml:space="preserve">Observed on visit</t>
  </si>
  <si>
    <t xml:space="preserve">Average value per machine (Rs)</t>
  </si>
  <si>
    <t xml:space="preserve">ESTIMATE - used industrial machine</t>
  </si>
  <si>
    <t xml:space="preserve">Depreciation rate per year</t>
  </si>
  <si>
    <t xml:space="preserve">Owner: 20% per year</t>
  </si>
  <si>
    <t xml:space="preserve">Tax (Rs)</t>
  </si>
  <si>
    <t xml:space="preserve">Owner: Rs 30k-35k (midpoint)</t>
  </si>
  <si>
    <t xml:space="preserve">Miscellaneous overheads (Rs)</t>
  </si>
  <si>
    <t xml:space="preserve">ESTIMATE - rent share, packing, transport, stationery</t>
  </si>
  <si>
    <t xml:space="preserve">Cost Sheet - Boys Shirts (excluding buttons)</t>
  </si>
  <si>
    <t xml:space="preserve">Period: one month | Output: units per Inputs sheet</t>
  </si>
  <si>
    <t xml:space="preserve">Particulars</t>
  </si>
  <si>
    <t xml:space="preserve">Amount (Rs)</t>
  </si>
  <si>
    <t xml:space="preserve">Per Unit (Rs)</t>
  </si>
  <si>
    <t xml:space="preserve">A. DIRECT MATERIAL (consumables)</t>
  </si>
  <si>
    <t xml:space="preserve">Thread</t>
  </si>
  <si>
    <t xml:space="preserve">Colour / dye</t>
  </si>
  <si>
    <t xml:space="preserve">Finishing, label &amp; lace</t>
  </si>
  <si>
    <t xml:space="preserve">Total Direct Material</t>
  </si>
  <si>
    <t xml:space="preserve">B. DIRECT LABOUR</t>
  </si>
  <si>
    <t xml:space="preserve">Tailors' making charges</t>
  </si>
  <si>
    <t xml:space="preserve">PRIME COST (A + B)</t>
  </si>
  <si>
    <t xml:space="preserve">C. FACTORY OVERHEADS</t>
  </si>
  <si>
    <t xml:space="preserve">Electricity</t>
  </si>
  <si>
    <t xml:space="preserve">Helpers' salaries</t>
  </si>
  <si>
    <t xml:space="preserve">Master tailor / supervisor salary</t>
  </si>
  <si>
    <t xml:space="preserve">Machine repairs &amp; maintenance</t>
  </si>
  <si>
    <t xml:space="preserve">Depreciation on machines (monthly)</t>
  </si>
  <si>
    <t xml:space="preserve">Wastage (net of scrap recovery)</t>
  </si>
  <si>
    <t xml:space="preserve">Total Factory Overheads</t>
  </si>
  <si>
    <t xml:space="preserve">FACTORY COST (Prime + Factory OH)</t>
  </si>
  <si>
    <t xml:space="preserve">D. ADMINISTRATIVE OVERHEADS</t>
  </si>
  <si>
    <t xml:space="preserve">Tax</t>
  </si>
  <si>
    <t xml:space="preserve">Miscellaneous overheads (estimate)</t>
  </si>
  <si>
    <t xml:space="preserve">Total Administrative Overheads</t>
  </si>
  <si>
    <t xml:space="preserve">TOTAL COST OF PRODUCTION (COST OF SALES)</t>
  </si>
  <si>
    <t xml:space="preserve">Sales revenue</t>
  </si>
  <si>
    <t xml:space="preserve">PROFIT</t>
  </si>
  <si>
    <t xml:space="preserve">Profit margin on sales</t>
  </si>
  <si>
    <t xml:space="preserve">Cost-Volume-Profit Analysis</t>
  </si>
  <si>
    <t xml:space="preserve">Amount</t>
  </si>
  <si>
    <t xml:space="preserve">Note</t>
  </si>
  <si>
    <t xml:space="preserve">Variable cost per unit - material</t>
  </si>
  <si>
    <t xml:space="preserve">Variable cost per unit - labour</t>
  </si>
  <si>
    <t xml:space="preserve">Variable cost per unit - net wastage</t>
  </si>
  <si>
    <t xml:space="preserve">Total variable cost per unit</t>
  </si>
  <si>
    <t xml:space="preserve">Selling price per unit</t>
  </si>
  <si>
    <t xml:space="preserve">Contribution per unit</t>
  </si>
  <si>
    <t xml:space="preserve">P/V ratio</t>
  </si>
  <si>
    <t xml:space="preserve">Total fixed costs (monthly)</t>
  </si>
  <si>
    <t xml:space="preserve">Electricity, helpers, master tailor, repairs, depreciation, admin</t>
  </si>
  <si>
    <t xml:space="preserve">Break-even point (units)</t>
  </si>
  <si>
    <t xml:space="preserve">Break-even point (sales value, Rs)</t>
  </si>
  <si>
    <t xml:space="preserve">Actual units</t>
  </si>
  <si>
    <t xml:space="preserve">Margin of safety (units)</t>
  </si>
  <si>
    <t xml:space="preserve">Margin of safety (%)</t>
  </si>
  <si>
    <t xml:space="preserve">Total contribution</t>
  </si>
  <si>
    <t xml:space="preserve">Profit</t>
  </si>
  <si>
    <t xml:space="preserve">Degree of operating leverage</t>
  </si>
  <si>
    <t xml:space="preserve">Break-even as % of capacity</t>
  </si>
  <si>
    <t xml:space="preserve">Sensitivity / What-if scenarios</t>
  </si>
  <si>
    <t xml:space="preserve">Scenario</t>
  </si>
  <si>
    <t xml:space="preserve">Contribution/unit</t>
  </si>
  <si>
    <t xml:space="preserve">Fixed cost</t>
  </si>
  <si>
    <t xml:space="preserve">BEP (units)</t>
  </si>
  <si>
    <t xml:space="preserve">BEP (Rs)</t>
  </si>
  <si>
    <t xml:space="preserve">Profit at actual units</t>
  </si>
  <si>
    <t xml:space="preserve">Base case</t>
  </si>
  <si>
    <t xml:space="preserve">Labour rate +10%</t>
  </si>
  <si>
    <t xml:space="preserve">Selling price Rs 45</t>
  </si>
  <si>
    <t xml:space="preserve">Selling price Rs 50</t>
  </si>
  <si>
    <t xml:space="preserve">Material cost +15%</t>
  </si>
  <si>
    <t xml:space="preserve">Fixed costs +10%</t>
  </si>
  <si>
    <t xml:space="preserve">Profit at full capacity (units)</t>
  </si>
  <si>
    <t xml:space="preserve">Profit at full capacity (Rs)</t>
  </si>
  <si>
    <t xml:space="preserve">Target profit (Rs)</t>
  </si>
  <si>
    <t xml:space="preserve">Input - owner's possible target (assumption)</t>
  </si>
  <si>
    <t xml:space="preserve">Units required for target profit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</si>
</sst>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%"/>
    <numFmt numFmtId="167" formatCode="#,##0;\(#,##0\);\-"/>
    <numFmt numFmtId="168" formatCode="#,##0.00;\(#,##0.00\);\-"/>
    <numFmt numFmtId="169" formatCode="0.0%"/>
    <numFmt numFmtId="170" formatCode="0.00\x"/>
    <numFmt numFmtId="171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Times New Roman"/>
      <family val="0"/>
      <charset val="1"/>
    </font>
    <font>
      <sz val="10"/>
      <color rgb="FF000000"/>
      <name val="Times New Roman"/>
      <family val="0"/>
      <charset val="1"/>
    </font>
    <font>
      <b val="true"/>
      <sz val="11"/>
      <color rgb="FF000000"/>
      <name val="Times New Roman"/>
      <family val="0"/>
      <charset val="1"/>
    </font>
    <font>
      <sz val="11"/>
      <color rgb="FF000000"/>
      <name val="Times New Roman"/>
      <family val="0"/>
      <charset val="1"/>
    </font>
    <font>
      <sz val="11"/>
      <color rgb="FF0000FF"/>
      <name val="Times New Roman"/>
      <family val="0"/>
      <charset val="1"/>
    </font>
    <font>
      <b val="true"/>
      <sz val="12"/>
      <color rgb="FF000000"/>
      <name val="Times New Roman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EFEFEF"/>
      </patternFill>
    </fill>
    <fill>
      <patternFill patternType="solid">
        <fgColor rgb="FFEFEFE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F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6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22000</v>
      </c>
      <c r="C5" s="6" t="s">
        <v>6</v>
      </c>
    </row>
    <row r="6" customFormat="false" ht="15" hidden="false" customHeight="false" outlineLevel="0" collapsed="false">
      <c r="A6" s="4" t="s">
        <v>7</v>
      </c>
      <c r="B6" s="5" t="n">
        <v>48</v>
      </c>
      <c r="C6" s="6" t="s">
        <v>8</v>
      </c>
    </row>
    <row r="7" customFormat="false" ht="15" hidden="false" customHeight="false" outlineLevel="0" collapsed="false">
      <c r="A7" s="4" t="s">
        <v>9</v>
      </c>
      <c r="B7" s="5" t="n">
        <v>27000</v>
      </c>
      <c r="C7" s="6" t="s">
        <v>10</v>
      </c>
    </row>
    <row r="8" customFormat="false" ht="15" hidden="false" customHeight="false" outlineLevel="0" collapsed="false">
      <c r="A8" s="4" t="s">
        <v>11</v>
      </c>
      <c r="B8" s="5" t="n">
        <v>50000</v>
      </c>
      <c r="C8" s="6" t="s">
        <v>12</v>
      </c>
    </row>
    <row r="9" customFormat="false" ht="15" hidden="false" customHeight="false" outlineLevel="0" collapsed="false">
      <c r="A9" s="4" t="s">
        <v>13</v>
      </c>
      <c r="B9" s="5" t="n">
        <v>50000</v>
      </c>
      <c r="C9" s="6" t="s">
        <v>12</v>
      </c>
    </row>
    <row r="10" customFormat="false" ht="15" hidden="false" customHeight="false" outlineLevel="0" collapsed="false">
      <c r="A10" s="4" t="s">
        <v>14</v>
      </c>
      <c r="B10" s="5" t="n">
        <v>50000</v>
      </c>
      <c r="C10" s="6" t="s">
        <v>15</v>
      </c>
    </row>
    <row r="11" customFormat="false" ht="15" hidden="false" customHeight="false" outlineLevel="0" collapsed="false">
      <c r="A11" s="4" t="s">
        <v>16</v>
      </c>
      <c r="B11" s="5" t="n">
        <v>21</v>
      </c>
      <c r="C11" s="6" t="s">
        <v>17</v>
      </c>
    </row>
    <row r="12" customFormat="false" ht="15" hidden="false" customHeight="false" outlineLevel="0" collapsed="false">
      <c r="A12" s="4" t="s">
        <v>18</v>
      </c>
      <c r="B12" s="5" t="n">
        <v>12500</v>
      </c>
      <c r="C12" s="6" t="s">
        <v>19</v>
      </c>
    </row>
    <row r="13" customFormat="false" ht="15" hidden="false" customHeight="false" outlineLevel="0" collapsed="false">
      <c r="A13" s="4" t="s">
        <v>20</v>
      </c>
      <c r="B13" s="5" t="n">
        <v>1600</v>
      </c>
      <c r="C13" s="6" t="s">
        <v>21</v>
      </c>
    </row>
    <row r="14" customFormat="false" ht="15" hidden="false" customHeight="false" outlineLevel="0" collapsed="false">
      <c r="A14" s="4" t="s">
        <v>22</v>
      </c>
      <c r="B14" s="5" t="n">
        <v>45000</v>
      </c>
      <c r="C14" s="6" t="s">
        <v>23</v>
      </c>
    </row>
    <row r="15" customFormat="false" ht="15" hidden="false" customHeight="false" outlineLevel="0" collapsed="false">
      <c r="A15" s="4" t="s">
        <v>24</v>
      </c>
      <c r="B15" s="5" t="n">
        <v>5</v>
      </c>
      <c r="C15" s="6" t="s">
        <v>25</v>
      </c>
    </row>
    <row r="16" customFormat="false" ht="15" hidden="false" customHeight="false" outlineLevel="0" collapsed="false">
      <c r="A16" s="4" t="s">
        <v>26</v>
      </c>
      <c r="B16" s="5" t="n">
        <v>12000</v>
      </c>
      <c r="C16" s="6" t="s">
        <v>27</v>
      </c>
    </row>
    <row r="17" customFormat="false" ht="15" hidden="false" customHeight="false" outlineLevel="0" collapsed="false">
      <c r="A17" s="4" t="s">
        <v>28</v>
      </c>
      <c r="B17" s="5" t="n">
        <v>50000</v>
      </c>
      <c r="C17" s="6" t="s">
        <v>29</v>
      </c>
    </row>
    <row r="18" customFormat="false" ht="15" hidden="false" customHeight="false" outlineLevel="0" collapsed="false">
      <c r="A18" s="4" t="s">
        <v>30</v>
      </c>
      <c r="B18" s="5" t="n">
        <v>45000</v>
      </c>
      <c r="C18" s="6" t="s">
        <v>31</v>
      </c>
    </row>
    <row r="19" customFormat="false" ht="15" hidden="false" customHeight="false" outlineLevel="0" collapsed="false">
      <c r="A19" s="4" t="s">
        <v>32</v>
      </c>
      <c r="B19" s="5" t="n">
        <v>48</v>
      </c>
      <c r="C19" s="6" t="s">
        <v>33</v>
      </c>
    </row>
    <row r="20" customFormat="false" ht="15" hidden="false" customHeight="false" outlineLevel="0" collapsed="false">
      <c r="A20" s="4" t="s">
        <v>34</v>
      </c>
      <c r="B20" s="5" t="n">
        <v>30000</v>
      </c>
      <c r="C20" s="6" t="s">
        <v>35</v>
      </c>
    </row>
    <row r="21" customFormat="false" ht="15" hidden="false" customHeight="false" outlineLevel="0" collapsed="false">
      <c r="A21" s="4" t="s">
        <v>36</v>
      </c>
      <c r="B21" s="7" t="n">
        <v>0.2</v>
      </c>
      <c r="C21" s="6" t="s">
        <v>37</v>
      </c>
    </row>
    <row r="22" customFormat="false" ht="15" hidden="false" customHeight="false" outlineLevel="0" collapsed="false">
      <c r="A22" s="4" t="s">
        <v>38</v>
      </c>
      <c r="B22" s="5" t="n">
        <v>32500</v>
      </c>
      <c r="C22" s="6" t="s">
        <v>39</v>
      </c>
    </row>
    <row r="23" customFormat="false" ht="15" hidden="false" customHeight="false" outlineLevel="0" collapsed="false">
      <c r="A23" s="4" t="s">
        <v>40</v>
      </c>
      <c r="B23" s="5" t="n">
        <v>25000</v>
      </c>
      <c r="C23" s="6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6"/>
  </cols>
  <sheetData>
    <row r="1" customFormat="false" ht="16.15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  <row r="4" customFormat="false" ht="15" hidden="false" customHeight="false" outlineLevel="0" collapsed="false">
      <c r="A4" s="3" t="s">
        <v>44</v>
      </c>
      <c r="B4" s="3" t="s">
        <v>45</v>
      </c>
      <c r="C4" s="3" t="s">
        <v>46</v>
      </c>
    </row>
    <row r="5" customFormat="false" ht="15" hidden="false" customHeight="false" outlineLevel="0" collapsed="false">
      <c r="A5" s="8" t="s">
        <v>47</v>
      </c>
      <c r="B5" s="9"/>
      <c r="C5" s="10"/>
    </row>
    <row r="6" customFormat="false" ht="15" hidden="false" customHeight="false" outlineLevel="0" collapsed="false">
      <c r="A6" s="4" t="s">
        <v>48</v>
      </c>
      <c r="B6" s="11" t="n">
        <f aca="false">Inputs!$B$8</f>
        <v>50000</v>
      </c>
      <c r="C6" s="12" t="n">
        <f aca="false">B6/Inputs!$B$5</f>
        <v>2.27272727272727</v>
      </c>
    </row>
    <row r="7" customFormat="false" ht="15" hidden="false" customHeight="false" outlineLevel="0" collapsed="false">
      <c r="A7" s="4" t="s">
        <v>49</v>
      </c>
      <c r="B7" s="11" t="n">
        <f aca="false">Inputs!$B$9</f>
        <v>50000</v>
      </c>
      <c r="C7" s="12" t="n">
        <f aca="false">B7/Inputs!$B$5</f>
        <v>2.27272727272727</v>
      </c>
    </row>
    <row r="8" customFormat="false" ht="15" hidden="false" customHeight="false" outlineLevel="0" collapsed="false">
      <c r="A8" s="4" t="s">
        <v>50</v>
      </c>
      <c r="B8" s="11" t="n">
        <f aca="false">Inputs!$B$10</f>
        <v>50000</v>
      </c>
      <c r="C8" s="12" t="n">
        <f aca="false">B8/Inputs!$B$5</f>
        <v>2.27272727272727</v>
      </c>
    </row>
    <row r="9" customFormat="false" ht="15" hidden="false" customHeight="false" outlineLevel="0" collapsed="false">
      <c r="A9" s="13" t="s">
        <v>51</v>
      </c>
      <c r="B9" s="14" t="n">
        <f aca="false">SUM(B6:B8)</f>
        <v>150000</v>
      </c>
      <c r="C9" s="15" t="n">
        <f aca="false">B9/Inputs!$B$5</f>
        <v>6.81818181818182</v>
      </c>
    </row>
    <row r="10" customFormat="false" ht="15" hidden="false" customHeight="false" outlineLevel="0" collapsed="false">
      <c r="A10" s="8" t="s">
        <v>52</v>
      </c>
      <c r="B10" s="9"/>
      <c r="C10" s="10"/>
    </row>
    <row r="11" customFormat="false" ht="15" hidden="false" customHeight="false" outlineLevel="0" collapsed="false">
      <c r="A11" s="13" t="s">
        <v>53</v>
      </c>
      <c r="B11" s="14" t="n">
        <f aca="false">Inputs!$B$11*Inputs!$B$5</f>
        <v>462000</v>
      </c>
      <c r="C11" s="15" t="n">
        <f aca="false">B11/Inputs!$B$5</f>
        <v>21</v>
      </c>
    </row>
    <row r="12" customFormat="false" ht="15" hidden="false" customHeight="false" outlineLevel="0" collapsed="false">
      <c r="A12" s="3" t="s">
        <v>54</v>
      </c>
      <c r="B12" s="16" t="n">
        <f aca="false">B9+B11</f>
        <v>612000</v>
      </c>
      <c r="C12" s="17" t="n">
        <f aca="false">B12/Inputs!$B$5</f>
        <v>27.8181818181818</v>
      </c>
    </row>
    <row r="13" customFormat="false" ht="15" hidden="false" customHeight="false" outlineLevel="0" collapsed="false">
      <c r="A13" s="8" t="s">
        <v>55</v>
      </c>
      <c r="B13" s="9"/>
      <c r="C13" s="10"/>
    </row>
    <row r="14" customFormat="false" ht="15" hidden="false" customHeight="false" outlineLevel="0" collapsed="false">
      <c r="A14" s="4" t="s">
        <v>56</v>
      </c>
      <c r="B14" s="11" t="n">
        <f aca="false">Inputs!$B$14</f>
        <v>45000</v>
      </c>
      <c r="C14" s="12" t="n">
        <f aca="false">B14/Inputs!$B$5</f>
        <v>2.04545454545455</v>
      </c>
    </row>
    <row r="15" customFormat="false" ht="15" hidden="false" customHeight="false" outlineLevel="0" collapsed="false">
      <c r="A15" s="4" t="s">
        <v>57</v>
      </c>
      <c r="B15" s="11" t="n">
        <f aca="false">Inputs!$B$15*Inputs!$B$16</f>
        <v>60000</v>
      </c>
      <c r="C15" s="12" t="n">
        <f aca="false">B15/Inputs!$B$5</f>
        <v>2.72727272727273</v>
      </c>
    </row>
    <row r="16" customFormat="false" ht="15" hidden="false" customHeight="false" outlineLevel="0" collapsed="false">
      <c r="A16" s="4" t="s">
        <v>58</v>
      </c>
      <c r="B16" s="11" t="n">
        <f aca="false">Inputs!$B$17</f>
        <v>50000</v>
      </c>
      <c r="C16" s="12" t="n">
        <f aca="false">B16/Inputs!$B$5</f>
        <v>2.27272727272727</v>
      </c>
    </row>
    <row r="17" customFormat="false" ht="15" hidden="false" customHeight="false" outlineLevel="0" collapsed="false">
      <c r="A17" s="4" t="s">
        <v>59</v>
      </c>
      <c r="B17" s="11" t="n">
        <f aca="false">Inputs!$B$18</f>
        <v>45000</v>
      </c>
      <c r="C17" s="12" t="n">
        <f aca="false">B17/Inputs!$B$5</f>
        <v>2.04545454545455</v>
      </c>
    </row>
    <row r="18" customFormat="false" ht="15" hidden="false" customHeight="false" outlineLevel="0" collapsed="false">
      <c r="A18" s="4" t="s">
        <v>60</v>
      </c>
      <c r="B18" s="11" t="n">
        <f aca="false">Inputs!$B$19*Inputs!$B$20*Inputs!$B$21/12</f>
        <v>24000</v>
      </c>
      <c r="C18" s="12" t="n">
        <f aca="false">B18/Inputs!$B$5</f>
        <v>1.09090909090909</v>
      </c>
    </row>
    <row r="19" customFormat="false" ht="15" hidden="false" customHeight="false" outlineLevel="0" collapsed="false">
      <c r="A19" s="4" t="s">
        <v>61</v>
      </c>
      <c r="B19" s="11" t="n">
        <f aca="false">Inputs!$B$12-Inputs!$B$13</f>
        <v>10900</v>
      </c>
      <c r="C19" s="12" t="n">
        <f aca="false">B19/Inputs!$B$5</f>
        <v>0.495454545454546</v>
      </c>
    </row>
    <row r="20" customFormat="false" ht="15" hidden="false" customHeight="false" outlineLevel="0" collapsed="false">
      <c r="A20" s="13" t="s">
        <v>62</v>
      </c>
      <c r="B20" s="14" t="n">
        <f aca="false">SUM(B14:B19)</f>
        <v>234900</v>
      </c>
      <c r="C20" s="15" t="n">
        <f aca="false">B20/Inputs!$B$5</f>
        <v>10.6772727272727</v>
      </c>
    </row>
    <row r="21" customFormat="false" ht="15" hidden="false" customHeight="false" outlineLevel="0" collapsed="false">
      <c r="A21" s="3" t="s">
        <v>63</v>
      </c>
      <c r="B21" s="16" t="n">
        <f aca="false">B12+B20</f>
        <v>846900</v>
      </c>
      <c r="C21" s="17" t="n">
        <f aca="false">B21/Inputs!$B$5</f>
        <v>38.4954545454545</v>
      </c>
    </row>
    <row r="22" customFormat="false" ht="15" hidden="false" customHeight="false" outlineLevel="0" collapsed="false">
      <c r="A22" s="8" t="s">
        <v>64</v>
      </c>
      <c r="B22" s="9"/>
      <c r="C22" s="10"/>
    </row>
    <row r="23" customFormat="false" ht="15" hidden="false" customHeight="false" outlineLevel="0" collapsed="false">
      <c r="A23" s="4" t="s">
        <v>65</v>
      </c>
      <c r="B23" s="11" t="n">
        <f aca="false">Inputs!$B$22</f>
        <v>32500</v>
      </c>
      <c r="C23" s="12" t="n">
        <f aca="false">B23/Inputs!$B$5</f>
        <v>1.47727272727273</v>
      </c>
    </row>
    <row r="24" customFormat="false" ht="15" hidden="false" customHeight="false" outlineLevel="0" collapsed="false">
      <c r="A24" s="4" t="s">
        <v>66</v>
      </c>
      <c r="B24" s="11" t="n">
        <f aca="false">Inputs!$B$23</f>
        <v>25000</v>
      </c>
      <c r="C24" s="12" t="n">
        <f aca="false">B24/Inputs!$B$5</f>
        <v>1.13636363636364</v>
      </c>
    </row>
    <row r="25" customFormat="false" ht="15" hidden="false" customHeight="false" outlineLevel="0" collapsed="false">
      <c r="A25" s="13" t="s">
        <v>67</v>
      </c>
      <c r="B25" s="14" t="n">
        <f aca="false">B23+B24</f>
        <v>57500</v>
      </c>
      <c r="C25" s="15" t="n">
        <f aca="false">B25/Inputs!$B$5</f>
        <v>2.61363636363636</v>
      </c>
    </row>
    <row r="26" customFormat="false" ht="15" hidden="false" customHeight="false" outlineLevel="0" collapsed="false">
      <c r="A26" s="3" t="s">
        <v>68</v>
      </c>
      <c r="B26" s="16" t="n">
        <f aca="false">B21+B25</f>
        <v>904400</v>
      </c>
      <c r="C26" s="17" t="n">
        <f aca="false">B26/Inputs!$B$5</f>
        <v>41.1090909090909</v>
      </c>
    </row>
    <row r="27" customFormat="false" ht="15" hidden="false" customHeight="false" outlineLevel="0" collapsed="false">
      <c r="A27" s="4" t="s">
        <v>69</v>
      </c>
      <c r="B27" s="11" t="n">
        <f aca="false">Inputs!$B$5*Inputs!$B$6</f>
        <v>1056000</v>
      </c>
      <c r="C27" s="12" t="n">
        <f aca="false">B27/Inputs!$B$5</f>
        <v>48</v>
      </c>
    </row>
    <row r="28" customFormat="false" ht="15" hidden="false" customHeight="false" outlineLevel="0" collapsed="false">
      <c r="A28" s="3" t="s">
        <v>70</v>
      </c>
      <c r="B28" s="16" t="n">
        <f aca="false">B27-B26</f>
        <v>151600</v>
      </c>
      <c r="C28" s="17" t="n">
        <f aca="false">B28/Inputs!$B$5</f>
        <v>6.89090909090909</v>
      </c>
    </row>
    <row r="31" customFormat="false" ht="15" hidden="false" customHeight="false" outlineLevel="0" collapsed="false">
      <c r="A31" s="18" t="s">
        <v>71</v>
      </c>
      <c r="B31" s="19" t="n">
        <f aca="false">B28/B27</f>
        <v>0.143560606060606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6" min="4" style="0" width="20"/>
  </cols>
  <sheetData>
    <row r="1" customFormat="false" ht="16.15" hidden="false" customHeight="false" outlineLevel="0" collapsed="false">
      <c r="A1" s="1" t="s">
        <v>72</v>
      </c>
    </row>
    <row r="3" customFormat="false" ht="15" hidden="false" customHeight="false" outlineLevel="0" collapsed="false">
      <c r="A3" s="3" t="s">
        <v>44</v>
      </c>
      <c r="B3" s="3" t="s">
        <v>73</v>
      </c>
      <c r="C3" s="3" t="s">
        <v>74</v>
      </c>
    </row>
    <row r="4" customFormat="false" ht="15" hidden="false" customHeight="false" outlineLevel="0" collapsed="false">
      <c r="A4" s="4" t="s">
        <v>75</v>
      </c>
      <c r="B4" s="12" t="n">
        <f aca="false">'Cost Sheet'!C9</f>
        <v>6.81818181818182</v>
      </c>
      <c r="C4" s="6"/>
    </row>
    <row r="5" customFormat="false" ht="15" hidden="false" customHeight="false" outlineLevel="0" collapsed="false">
      <c r="A5" s="4" t="s">
        <v>76</v>
      </c>
      <c r="B5" s="12" t="n">
        <f aca="false">'Cost Sheet'!C11</f>
        <v>21</v>
      </c>
      <c r="C5" s="6"/>
    </row>
    <row r="6" customFormat="false" ht="15" hidden="false" customHeight="false" outlineLevel="0" collapsed="false">
      <c r="A6" s="4" t="s">
        <v>77</v>
      </c>
      <c r="B6" s="12" t="n">
        <f aca="false">'Cost Sheet'!C19</f>
        <v>0.495454545454546</v>
      </c>
      <c r="C6" s="6"/>
    </row>
    <row r="7" customFormat="false" ht="15" hidden="false" customHeight="false" outlineLevel="0" collapsed="false">
      <c r="A7" s="4" t="s">
        <v>78</v>
      </c>
      <c r="B7" s="12" t="n">
        <f aca="false">SUM(B4:B6)</f>
        <v>28.3136363636364</v>
      </c>
      <c r="C7" s="6"/>
    </row>
    <row r="8" customFormat="false" ht="15" hidden="false" customHeight="false" outlineLevel="0" collapsed="false">
      <c r="A8" s="4" t="s">
        <v>79</v>
      </c>
      <c r="B8" s="12" t="n">
        <f aca="false">Inputs!$B$6</f>
        <v>48</v>
      </c>
      <c r="C8" s="6"/>
    </row>
    <row r="9" customFormat="false" ht="15" hidden="false" customHeight="false" outlineLevel="0" collapsed="false">
      <c r="A9" s="4" t="s">
        <v>80</v>
      </c>
      <c r="B9" s="12" t="n">
        <f aca="false">B8-B7</f>
        <v>19.6863636363636</v>
      </c>
      <c r="C9" s="6"/>
    </row>
    <row r="10" customFormat="false" ht="15" hidden="false" customHeight="false" outlineLevel="0" collapsed="false">
      <c r="A10" s="4" t="s">
        <v>81</v>
      </c>
      <c r="B10" s="20" t="n">
        <f aca="false">B9/B8</f>
        <v>0.410132575757576</v>
      </c>
      <c r="C10" s="6"/>
    </row>
    <row r="11" customFormat="false" ht="15" hidden="false" customHeight="false" outlineLevel="0" collapsed="false">
      <c r="A11" s="4" t="s">
        <v>82</v>
      </c>
      <c r="B11" s="12" t="n">
        <f aca="false">'Cost Sheet'!B14+'Cost Sheet'!B15+'Cost Sheet'!B16+'Cost Sheet'!B17+'Cost Sheet'!B18+'Cost Sheet'!B25</f>
        <v>281500</v>
      </c>
      <c r="C11" s="6" t="s">
        <v>83</v>
      </c>
    </row>
    <row r="12" customFormat="false" ht="15" hidden="false" customHeight="false" outlineLevel="0" collapsed="false">
      <c r="A12" s="4" t="s">
        <v>84</v>
      </c>
      <c r="B12" s="21" t="n">
        <f aca="false">B11/B9</f>
        <v>14299.2380512584</v>
      </c>
      <c r="C12" s="6"/>
    </row>
    <row r="13" customFormat="false" ht="15" hidden="false" customHeight="false" outlineLevel="0" collapsed="false">
      <c r="A13" s="4" t="s">
        <v>85</v>
      </c>
      <c r="B13" s="21" t="n">
        <f aca="false">B12*B8</f>
        <v>686363.426460402</v>
      </c>
      <c r="C13" s="6"/>
    </row>
    <row r="14" customFormat="false" ht="15" hidden="false" customHeight="false" outlineLevel="0" collapsed="false">
      <c r="A14" s="4" t="s">
        <v>86</v>
      </c>
      <c r="B14" s="21" t="n">
        <f aca="false">Inputs!$B$5</f>
        <v>22000</v>
      </c>
      <c r="C14" s="6"/>
    </row>
    <row r="15" customFormat="false" ht="15" hidden="false" customHeight="false" outlineLevel="0" collapsed="false">
      <c r="A15" s="4" t="s">
        <v>87</v>
      </c>
      <c r="B15" s="21" t="n">
        <f aca="false">B14-B12</f>
        <v>7700.76194874163</v>
      </c>
      <c r="C15" s="6"/>
    </row>
    <row r="16" customFormat="false" ht="15" hidden="false" customHeight="false" outlineLevel="0" collapsed="false">
      <c r="A16" s="4" t="s">
        <v>88</v>
      </c>
      <c r="B16" s="20" t="n">
        <f aca="false">B15/B14</f>
        <v>0.35003463403371</v>
      </c>
      <c r="C16" s="6"/>
    </row>
    <row r="17" customFormat="false" ht="15" hidden="false" customHeight="false" outlineLevel="0" collapsed="false">
      <c r="A17" s="4" t="s">
        <v>89</v>
      </c>
      <c r="B17" s="12" t="n">
        <f aca="false">B14*B9</f>
        <v>433100</v>
      </c>
      <c r="C17" s="6"/>
    </row>
    <row r="18" customFormat="false" ht="15" hidden="false" customHeight="false" outlineLevel="0" collapsed="false">
      <c r="A18" s="4" t="s">
        <v>90</v>
      </c>
      <c r="B18" s="12" t="n">
        <f aca="false">B17-B11</f>
        <v>151600</v>
      </c>
      <c r="C18" s="6"/>
    </row>
    <row r="19" customFormat="false" ht="15" hidden="false" customHeight="false" outlineLevel="0" collapsed="false">
      <c r="A19" s="4" t="s">
        <v>91</v>
      </c>
      <c r="B19" s="22" t="n">
        <f aca="false">B17/B18</f>
        <v>2.85686015831135</v>
      </c>
      <c r="C19" s="6"/>
    </row>
    <row r="20" customFormat="false" ht="15" hidden="false" customHeight="false" outlineLevel="0" collapsed="false">
      <c r="A20" s="4" t="s">
        <v>92</v>
      </c>
      <c r="B20" s="20" t="n">
        <f aca="false">B12/Inputs!$B$7</f>
        <v>0.529601409305866</v>
      </c>
      <c r="C20" s="6"/>
    </row>
    <row r="23" customFormat="false" ht="15" hidden="false" customHeight="false" outlineLevel="0" collapsed="false">
      <c r="A23" s="23" t="s">
        <v>93</v>
      </c>
    </row>
    <row r="24" customFormat="false" ht="15" hidden="false" customHeight="false" outlineLevel="0" collapsed="false">
      <c r="A24" s="3" t="s">
        <v>94</v>
      </c>
      <c r="B24" s="3" t="s">
        <v>95</v>
      </c>
      <c r="C24" s="3" t="s">
        <v>96</v>
      </c>
      <c r="D24" s="3" t="s">
        <v>97</v>
      </c>
      <c r="E24" s="3" t="s">
        <v>98</v>
      </c>
      <c r="F24" s="3" t="s">
        <v>99</v>
      </c>
    </row>
    <row r="25" customFormat="false" ht="15" hidden="false" customHeight="false" outlineLevel="0" collapsed="false">
      <c r="A25" s="21" t="s">
        <v>100</v>
      </c>
      <c r="B25" s="24" t="n">
        <f aca="false">B9</f>
        <v>19.6863636363636</v>
      </c>
      <c r="C25" s="21" t="n">
        <f aca="false">B11</f>
        <v>281500</v>
      </c>
      <c r="D25" s="21" t="n">
        <f aca="false">C25/B25</f>
        <v>14299.2380512584</v>
      </c>
      <c r="E25" s="21" t="n">
        <f aca="false">D25*B8</f>
        <v>686363.426460402</v>
      </c>
      <c r="F25" s="21" t="n">
        <f aca="false">B25*B14-C25</f>
        <v>151600</v>
      </c>
    </row>
    <row r="26" customFormat="false" ht="15" hidden="false" customHeight="false" outlineLevel="0" collapsed="false">
      <c r="A26" s="21" t="s">
        <v>101</v>
      </c>
      <c r="B26" s="24" t="n">
        <f aca="false">B9-0.1*B5</f>
        <v>17.5863636363636</v>
      </c>
      <c r="C26" s="21" t="n">
        <f aca="false">B11</f>
        <v>281500</v>
      </c>
      <c r="D26" s="21" t="n">
        <f aca="false">C26/B26</f>
        <v>16006.7200827087</v>
      </c>
      <c r="E26" s="21" t="n">
        <f aca="false">D26*B8</f>
        <v>768322.563970018</v>
      </c>
      <c r="F26" s="21" t="n">
        <f aca="false">B26*B14-C26</f>
        <v>105400</v>
      </c>
    </row>
    <row r="27" customFormat="false" ht="15" hidden="false" customHeight="false" outlineLevel="0" collapsed="false">
      <c r="A27" s="21" t="s">
        <v>102</v>
      </c>
      <c r="B27" s="24" t="n">
        <f aca="false">45-B7</f>
        <v>16.6863636363636</v>
      </c>
      <c r="C27" s="21" t="n">
        <f aca="false">B11</f>
        <v>281500</v>
      </c>
      <c r="D27" s="21" t="n">
        <f aca="false">C27/B27</f>
        <v>16870.062653228</v>
      </c>
      <c r="E27" s="21" t="n">
        <f aca="false">D27*45</f>
        <v>759152.81939526</v>
      </c>
      <c r="F27" s="21" t="n">
        <f aca="false">B27*B14-C27</f>
        <v>85599.9999999999</v>
      </c>
    </row>
    <row r="28" customFormat="false" ht="15" hidden="false" customHeight="false" outlineLevel="0" collapsed="false">
      <c r="A28" s="21" t="s">
        <v>103</v>
      </c>
      <c r="B28" s="24" t="n">
        <f aca="false">50-B7</f>
        <v>21.6863636363636</v>
      </c>
      <c r="C28" s="21" t="n">
        <f aca="false">B11</f>
        <v>281500</v>
      </c>
      <c r="D28" s="21" t="n">
        <f aca="false">C28/B28</f>
        <v>12980.5072311884</v>
      </c>
      <c r="E28" s="21" t="n">
        <f aca="false">D28*50</f>
        <v>649025.361559422</v>
      </c>
      <c r="F28" s="21" t="n">
        <f aca="false">B28*B14-C28</f>
        <v>195600</v>
      </c>
    </row>
    <row r="29" customFormat="false" ht="15" hidden="false" customHeight="false" outlineLevel="0" collapsed="false">
      <c r="A29" s="21" t="s">
        <v>104</v>
      </c>
      <c r="B29" s="24" t="n">
        <f aca="false">B9-0.15*B4</f>
        <v>18.6636363636364</v>
      </c>
      <c r="C29" s="21" t="n">
        <f aca="false">B11</f>
        <v>281500</v>
      </c>
      <c r="D29" s="21" t="n">
        <f aca="false">C29/B29</f>
        <v>15082.8056502679</v>
      </c>
      <c r="E29" s="21" t="n">
        <f aca="false">D29*B8</f>
        <v>723974.671212859</v>
      </c>
      <c r="F29" s="21" t="n">
        <f aca="false">B29*B14-C29</f>
        <v>129100</v>
      </c>
    </row>
    <row r="30" customFormat="false" ht="15" hidden="false" customHeight="false" outlineLevel="0" collapsed="false">
      <c r="A30" s="21" t="s">
        <v>105</v>
      </c>
      <c r="B30" s="24" t="n">
        <f aca="false">B9</f>
        <v>19.6863636363636</v>
      </c>
      <c r="C30" s="21" t="n">
        <f aca="false">B11*1.1</f>
        <v>309650</v>
      </c>
      <c r="D30" s="21" t="n">
        <f aca="false">C30/B30</f>
        <v>15729.1618563842</v>
      </c>
      <c r="E30" s="21" t="n">
        <f aca="false">D30*B8</f>
        <v>754999.769106442</v>
      </c>
      <c r="F30" s="21" t="n">
        <f aca="false">B30*B14-C30</f>
        <v>123450</v>
      </c>
    </row>
    <row r="33" customFormat="false" ht="15" hidden="false" customHeight="false" outlineLevel="0" collapsed="false">
      <c r="A33" s="25" t="s">
        <v>106</v>
      </c>
      <c r="B33" s="26" t="n">
        <f aca="false">Inputs!$B$7</f>
        <v>27000</v>
      </c>
    </row>
    <row r="34" customFormat="false" ht="15" hidden="false" customHeight="false" outlineLevel="0" collapsed="false">
      <c r="A34" s="25" t="s">
        <v>107</v>
      </c>
      <c r="B34" s="26" t="n">
        <f aca="false">B33*B9-B11</f>
        <v>250031.818181818</v>
      </c>
    </row>
    <row r="35" customFormat="false" ht="15" hidden="false" customHeight="false" outlineLevel="0" collapsed="false">
      <c r="A35" s="25" t="s">
        <v>108</v>
      </c>
      <c r="B35" s="27" t="n">
        <v>200000</v>
      </c>
      <c r="C35" s="2" t="s">
        <v>109</v>
      </c>
    </row>
    <row r="36" customFormat="false" ht="15" hidden="false" customHeight="false" outlineLevel="0" collapsed="false">
      <c r="A36" s="25" t="s">
        <v>110</v>
      </c>
      <c r="B36" s="26" t="n">
        <f aca="false">(B11+B35)/B9</f>
        <v>24458.5546063265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2026-10-06T01:11:17Z</dcterms:created>
  <dc:creator>openpyxl</dc:creator>
  <dc:description/>
  <dc:language>en-US</dc:language>
  <cp:lastModifiedBy/>
  <dcterms:modified xsi:type="dcterms:W3CDTF">2026-10-06T01:11:17Z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